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272c25259e92d1/програмирование/Study and work projects/New folder/"/>
    </mc:Choice>
  </mc:AlternateContent>
  <xr:revisionPtr revIDLastSave="225" documentId="8_{603C0269-8D17-484E-A4E5-321F79397B54}" xr6:coauthVersionLast="47" xr6:coauthVersionMax="47" xr10:uidLastSave="{B505A264-876C-41E7-BA72-0991235398D2}"/>
  <bookViews>
    <workbookView xWindow="-110" yWindow="-110" windowWidth="22620" windowHeight="13500" xr2:uid="{A30DFA0B-1B89-40EC-9F84-2D90FF21CA51}"/>
  </bookViews>
  <sheets>
    <sheet name="VAT margin" sheetId="1" r:id="rId1"/>
    <sheet name="Income" sheetId="2" r:id="rId2"/>
    <sheet name="Expenses" sheetId="3" r:id="rId3"/>
    <sheet name="VAT return" sheetId="4" r:id="rId4"/>
    <sheet name="SA TR 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4" l="1"/>
  <c r="D16" i="4"/>
  <c r="D4" i="4"/>
  <c r="F6" i="3"/>
  <c r="E6" i="3"/>
  <c r="H23" i="1"/>
  <c r="E8" i="2"/>
  <c r="E9" i="2"/>
  <c r="E10" i="2"/>
  <c r="E11" i="2"/>
  <c r="E12" i="2"/>
  <c r="E13" i="2"/>
  <c r="E14" i="2"/>
  <c r="E15" i="2"/>
  <c r="B12" i="5"/>
  <c r="B20" i="5"/>
  <c r="D9" i="4"/>
  <c r="E16" i="3"/>
  <c r="D16" i="3"/>
  <c r="D16" i="2"/>
  <c r="F7" i="3"/>
  <c r="F8" i="3"/>
  <c r="F16" i="3"/>
  <c r="E6" i="2"/>
  <c r="E5" i="2"/>
  <c r="C24" i="1"/>
  <c r="H8" i="1"/>
  <c r="H9" i="1"/>
  <c r="H10" i="1"/>
  <c r="H11" i="1"/>
  <c r="H12" i="1"/>
  <c r="H13" i="1"/>
  <c r="H14" i="1"/>
  <c r="H15" i="1"/>
  <c r="H16" i="1"/>
  <c r="H17" i="1"/>
  <c r="H18" i="1"/>
  <c r="H19" i="1"/>
  <c r="H7" i="1"/>
  <c r="G20" i="1"/>
  <c r="E20" i="1"/>
  <c r="H20" i="1" l="1"/>
  <c r="H22" i="1" s="1"/>
  <c r="C7" i="2" s="1"/>
  <c r="E7" i="2" l="1"/>
  <c r="E16" i="2" s="1"/>
  <c r="C16" i="2"/>
  <c r="D7" i="4"/>
  <c r="D11" i="4" s="1"/>
  <c r="B4" i="5" s="1"/>
  <c r="B7" i="5" s="1"/>
  <c r="B24" i="5" s="1"/>
  <c r="B26" i="5" s="1"/>
</calcChain>
</file>

<file path=xl/sharedStrings.xml><?xml version="1.0" encoding="utf-8"?>
<sst xmlns="http://schemas.openxmlformats.org/spreadsheetml/2006/main" count="75" uniqueCount="63">
  <si>
    <t>Car sales - margin scheme</t>
  </si>
  <si>
    <t>Date</t>
  </si>
  <si>
    <t>Invoice number</t>
  </si>
  <si>
    <t>Date vehicle purchased</t>
  </si>
  <si>
    <t>Supplier</t>
  </si>
  <si>
    <t>Reg number</t>
  </si>
  <si>
    <t>Purchace price</t>
  </si>
  <si>
    <t>Date sold</t>
  </si>
  <si>
    <t>Selling price</t>
  </si>
  <si>
    <t>Profit</t>
  </si>
  <si>
    <t>Total</t>
  </si>
  <si>
    <t>VATable profit</t>
  </si>
  <si>
    <t>Output VAT</t>
  </si>
  <si>
    <t>Total car sales</t>
  </si>
  <si>
    <t>period</t>
  </si>
  <si>
    <t>FG 456 F</t>
  </si>
  <si>
    <t>type</t>
  </si>
  <si>
    <t>VAT</t>
  </si>
  <si>
    <t>income excl. VAT</t>
  </si>
  <si>
    <t>date</t>
  </si>
  <si>
    <t>suplier</t>
  </si>
  <si>
    <t>Price excl.VAT</t>
  </si>
  <si>
    <t>Car FR 152 R</t>
  </si>
  <si>
    <t>repairs</t>
  </si>
  <si>
    <t>Delivery</t>
  </si>
  <si>
    <t>Screwfix</t>
  </si>
  <si>
    <t>screwdriver</t>
  </si>
  <si>
    <t>Type</t>
  </si>
  <si>
    <t>Car DHF159 FD</t>
  </si>
  <si>
    <t>John Brown</t>
  </si>
  <si>
    <t>Tools</t>
  </si>
  <si>
    <t>Cost of sales</t>
  </si>
  <si>
    <t>VAT due on sales and other output</t>
  </si>
  <si>
    <t>Total VAT due</t>
  </si>
  <si>
    <t>VAT reclaimed on purchases and other inputs</t>
  </si>
  <si>
    <t>Net VAT to be paid to Customs by you</t>
  </si>
  <si>
    <t>(difference between boxes 3 and 4)</t>
  </si>
  <si>
    <t>Total value of sales</t>
  </si>
  <si>
    <t>Total value of purchases</t>
  </si>
  <si>
    <t>VAT due on intra-community …</t>
  </si>
  <si>
    <t>if  '-' HMRC owe money</t>
  </si>
  <si>
    <t>page 'VAT margin' Output VAT + page 'Income" Total VAT</t>
  </si>
  <si>
    <t>page 'Expenses' Total VAT</t>
  </si>
  <si>
    <t>Income</t>
  </si>
  <si>
    <t>Page 'Income' Total excl.VAT</t>
  </si>
  <si>
    <t>Total income</t>
  </si>
  <si>
    <t>Expenses</t>
  </si>
  <si>
    <t>Page 'Expenses' Total excl.VAT</t>
  </si>
  <si>
    <t>For year</t>
  </si>
  <si>
    <t>24-25</t>
  </si>
  <si>
    <t>!!don't forget to add all 4 periods</t>
  </si>
  <si>
    <t>Taxes</t>
  </si>
  <si>
    <t>Use of home</t>
  </si>
  <si>
    <t>Rent</t>
  </si>
  <si>
    <t>Utility bills</t>
  </si>
  <si>
    <t>Mileage</t>
  </si>
  <si>
    <t>all excluding VAT</t>
  </si>
  <si>
    <t>Total expenses</t>
  </si>
  <si>
    <t>VAT margin scheme</t>
  </si>
  <si>
    <t>minus page 'VAT margin' Output VAT</t>
  </si>
  <si>
    <t>page 'Income" income excl. VAT</t>
  </si>
  <si>
    <t>page 'Expenses'Price excl.VAT</t>
  </si>
  <si>
    <r>
      <t>OR</t>
    </r>
    <r>
      <rPr>
        <i/>
        <sz val="11"/>
        <color theme="1"/>
        <rFont val="Aptos Narrow"/>
        <family val="2"/>
        <scheme val="minor"/>
      </rPr>
      <t xml:space="preserve"> (HMRC allow to enter all expenses in one line)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</si>
</sst>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14" fontId="0" fillId="0" borderId="0" xfId="0" applyNumberFormat="1"/>
    <xf numFmtId="0" fontId="0" fillId="2" borderId="0" xfId="0" applyFill="1"/>
    <xf numFmtId="0" fontId="2" fillId="0" borderId="0" xfId="0" applyFont="1"/>
    <xf numFmtId="14" fontId="2" fillId="0" borderId="0" xfId="0" applyNumberFormat="1" applyFont="1"/>
    <xf numFmtId="0" fontId="0" fillId="2" borderId="1" xfId="0" applyFill="1" applyBorder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/>
    <xf numFmtId="0" fontId="0" fillId="3" borderId="0" xfId="0" applyFill="1"/>
    <xf numFmtId="14" fontId="0" fillId="3" borderId="0" xfId="0" applyNumberFormat="1" applyFill="1"/>
    <xf numFmtId="0" fontId="3" fillId="0" borderId="0" xfId="0" applyFont="1"/>
    <xf numFmtId="0" fontId="2" fillId="0" borderId="2" xfId="0" applyFont="1" applyBorder="1" applyAlignment="1">
      <alignment horizontal="center" vertical="center"/>
    </xf>
    <xf numFmtId="0" fontId="2" fillId="3" borderId="0" xfId="0" applyFont="1" applyFill="1"/>
    <xf numFmtId="14" fontId="2" fillId="3" borderId="0" xfId="0" applyNumberFormat="1" applyFont="1" applyFill="1"/>
    <xf numFmtId="0" fontId="4" fillId="0" borderId="0" xfId="0" applyFont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C51CA-9D3E-49F6-9964-B9773D8D28D3}">
  <sheetPr>
    <pageSetUpPr fitToPage="1"/>
  </sheetPr>
  <dimension ref="A3:I24"/>
  <sheetViews>
    <sheetView tabSelected="1" workbookViewId="0">
      <selection activeCell="A20" sqref="A20"/>
    </sheetView>
  </sheetViews>
  <sheetFormatPr defaultRowHeight="14.5" x14ac:dyDescent="0.35"/>
  <cols>
    <col min="1" max="1" width="22.453125" bestFit="1" customWidth="1"/>
    <col min="2" max="2" width="23.1796875" customWidth="1"/>
    <col min="3" max="3" width="15.6328125" customWidth="1"/>
    <col min="4" max="4" width="11.81640625" customWidth="1"/>
    <col min="5" max="5" width="18.7265625" customWidth="1"/>
    <col min="6" max="6" width="15.1796875" customWidth="1"/>
    <col min="7" max="7" width="13.81640625" customWidth="1"/>
    <col min="8" max="8" width="11.453125" customWidth="1"/>
  </cols>
  <sheetData>
    <row r="3" spans="1:8" ht="18.5" x14ac:dyDescent="0.45">
      <c r="A3" s="12" t="s">
        <v>0</v>
      </c>
    </row>
    <row r="4" spans="1:8" x14ac:dyDescent="0.35">
      <c r="A4" s="10" t="s">
        <v>14</v>
      </c>
      <c r="B4" s="11">
        <v>46023</v>
      </c>
      <c r="C4" s="11">
        <v>46112</v>
      </c>
    </row>
    <row r="6" spans="1:8" x14ac:dyDescent="0.35">
      <c r="A6" s="13" t="s">
        <v>2</v>
      </c>
      <c r="B6" s="13" t="s">
        <v>3</v>
      </c>
      <c r="C6" s="13" t="s">
        <v>4</v>
      </c>
      <c r="D6" s="13" t="s">
        <v>5</v>
      </c>
      <c r="E6" s="13" t="s">
        <v>6</v>
      </c>
      <c r="F6" s="13" t="s">
        <v>7</v>
      </c>
      <c r="G6" s="13" t="s">
        <v>8</v>
      </c>
      <c r="H6" s="13" t="s">
        <v>9</v>
      </c>
    </row>
    <row r="7" spans="1:8" x14ac:dyDescent="0.35">
      <c r="B7" s="2">
        <v>45839</v>
      </c>
      <c r="D7" t="s">
        <v>15</v>
      </c>
      <c r="E7">
        <v>1000</v>
      </c>
      <c r="F7" s="2">
        <v>46027</v>
      </c>
      <c r="G7">
        <v>1500</v>
      </c>
      <c r="H7">
        <f>G7-E7</f>
        <v>500</v>
      </c>
    </row>
    <row r="8" spans="1:8" x14ac:dyDescent="0.35">
      <c r="H8">
        <f t="shared" ref="H8:H19" si="0">G8-E8</f>
        <v>0</v>
      </c>
    </row>
    <row r="9" spans="1:8" x14ac:dyDescent="0.35">
      <c r="H9">
        <f t="shared" si="0"/>
        <v>0</v>
      </c>
    </row>
    <row r="10" spans="1:8" x14ac:dyDescent="0.35">
      <c r="H10">
        <f t="shared" si="0"/>
        <v>0</v>
      </c>
    </row>
    <row r="11" spans="1:8" x14ac:dyDescent="0.35">
      <c r="H11">
        <f t="shared" si="0"/>
        <v>0</v>
      </c>
    </row>
    <row r="12" spans="1:8" x14ac:dyDescent="0.35">
      <c r="H12">
        <f t="shared" si="0"/>
        <v>0</v>
      </c>
    </row>
    <row r="13" spans="1:8" x14ac:dyDescent="0.35">
      <c r="H13">
        <f t="shared" si="0"/>
        <v>0</v>
      </c>
    </row>
    <row r="14" spans="1:8" x14ac:dyDescent="0.35">
      <c r="H14">
        <f t="shared" si="0"/>
        <v>0</v>
      </c>
    </row>
    <row r="15" spans="1:8" x14ac:dyDescent="0.35">
      <c r="H15">
        <f t="shared" si="0"/>
        <v>0</v>
      </c>
    </row>
    <row r="16" spans="1:8" x14ac:dyDescent="0.35">
      <c r="H16">
        <f t="shared" si="0"/>
        <v>0</v>
      </c>
    </row>
    <row r="17" spans="1:9" x14ac:dyDescent="0.35">
      <c r="H17">
        <f t="shared" si="0"/>
        <v>0</v>
      </c>
    </row>
    <row r="18" spans="1:9" x14ac:dyDescent="0.35">
      <c r="H18">
        <f t="shared" si="0"/>
        <v>0</v>
      </c>
    </row>
    <row r="19" spans="1:9" x14ac:dyDescent="0.35">
      <c r="H19">
        <f t="shared" si="0"/>
        <v>0</v>
      </c>
    </row>
    <row r="20" spans="1:9" ht="15" thickBot="1" x14ac:dyDescent="0.4">
      <c r="A20" t="s">
        <v>10</v>
      </c>
      <c r="E20" s="1">
        <f>SUM(E7:E19)</f>
        <v>1000</v>
      </c>
      <c r="G20" s="1">
        <f>SUM(G7:G19)</f>
        <v>1500</v>
      </c>
      <c r="H20" s="1">
        <f>SUM(H7:H19)</f>
        <v>500</v>
      </c>
    </row>
    <row r="21" spans="1:9" ht="15" thickTop="1" x14ac:dyDescent="0.35"/>
    <row r="22" spans="1:9" x14ac:dyDescent="0.35">
      <c r="H22">
        <f>H20</f>
        <v>500</v>
      </c>
      <c r="I22" t="s">
        <v>11</v>
      </c>
    </row>
    <row r="23" spans="1:9" x14ac:dyDescent="0.35">
      <c r="H23" s="3">
        <f>ROUND(H22/6,2)</f>
        <v>83.33</v>
      </c>
      <c r="I23" s="3" t="s">
        <v>12</v>
      </c>
    </row>
    <row r="24" spans="1:9" x14ac:dyDescent="0.35">
      <c r="B24" t="s">
        <v>13</v>
      </c>
      <c r="C24">
        <f>COUNTA(C7:C19)</f>
        <v>0</v>
      </c>
    </row>
  </sheetData>
  <pageMargins left="0.70866141732283472" right="0.70866141732283472" top="0.74803149606299213" bottom="0.74803149606299213" header="0.31496062992125984" footer="0.31496062992125984"/>
  <pageSetup scale="8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2E167-713A-4388-8F4D-E696991565F6}">
  <dimension ref="A2:G17"/>
  <sheetViews>
    <sheetView workbookViewId="0">
      <selection activeCell="H9" sqref="H9"/>
    </sheetView>
  </sheetViews>
  <sheetFormatPr defaultRowHeight="14.5" x14ac:dyDescent="0.35"/>
  <cols>
    <col min="1" max="1" width="10.36328125" bestFit="1" customWidth="1"/>
    <col min="2" max="2" width="18.36328125" customWidth="1"/>
    <col min="3" max="3" width="14.81640625" bestFit="1" customWidth="1"/>
    <col min="4" max="4" width="10.54296875" customWidth="1"/>
  </cols>
  <sheetData>
    <row r="2" spans="1:7" x14ac:dyDescent="0.35">
      <c r="A2" s="14" t="s">
        <v>14</v>
      </c>
      <c r="B2" s="15">
        <v>46023</v>
      </c>
      <c r="C2" s="15">
        <v>46112</v>
      </c>
    </row>
    <row r="3" spans="1:7" x14ac:dyDescent="0.35">
      <c r="B3" s="2"/>
      <c r="C3" s="2"/>
    </row>
    <row r="4" spans="1:7" x14ac:dyDescent="0.35">
      <c r="A4" t="s">
        <v>1</v>
      </c>
      <c r="B4" t="s">
        <v>16</v>
      </c>
      <c r="C4" t="s">
        <v>18</v>
      </c>
      <c r="D4" t="s">
        <v>17</v>
      </c>
      <c r="E4" t="s">
        <v>10</v>
      </c>
    </row>
    <row r="5" spans="1:7" x14ac:dyDescent="0.35">
      <c r="A5" s="2">
        <v>46023</v>
      </c>
      <c r="B5" t="s">
        <v>22</v>
      </c>
      <c r="C5">
        <v>1200</v>
      </c>
      <c r="D5">
        <v>0</v>
      </c>
      <c r="E5">
        <f>SUM(C5:D5)</f>
        <v>1200</v>
      </c>
    </row>
    <row r="6" spans="1:7" x14ac:dyDescent="0.35">
      <c r="A6" s="2">
        <v>46054</v>
      </c>
      <c r="B6" t="s">
        <v>23</v>
      </c>
      <c r="C6">
        <v>100</v>
      </c>
      <c r="D6">
        <v>20</v>
      </c>
      <c r="E6">
        <f>SUM(C6:D6)</f>
        <v>120</v>
      </c>
    </row>
    <row r="7" spans="1:7" x14ac:dyDescent="0.35">
      <c r="B7" t="s">
        <v>58</v>
      </c>
      <c r="C7">
        <f>-'VAT margin'!H23</f>
        <v>-83.33</v>
      </c>
      <c r="D7">
        <v>0</v>
      </c>
      <c r="E7">
        <f t="shared" ref="E7:E15" si="0">SUM(C7:D7)</f>
        <v>-83.33</v>
      </c>
      <c r="G7" t="s">
        <v>59</v>
      </c>
    </row>
    <row r="8" spans="1:7" x14ac:dyDescent="0.35">
      <c r="E8">
        <f t="shared" si="0"/>
        <v>0</v>
      </c>
    </row>
    <row r="9" spans="1:7" x14ac:dyDescent="0.35">
      <c r="E9">
        <f t="shared" si="0"/>
        <v>0</v>
      </c>
    </row>
    <row r="10" spans="1:7" x14ac:dyDescent="0.35">
      <c r="E10">
        <f t="shared" si="0"/>
        <v>0</v>
      </c>
    </row>
    <row r="11" spans="1:7" x14ac:dyDescent="0.35">
      <c r="E11">
        <f t="shared" si="0"/>
        <v>0</v>
      </c>
    </row>
    <row r="12" spans="1:7" x14ac:dyDescent="0.35">
      <c r="E12">
        <f t="shared" si="0"/>
        <v>0</v>
      </c>
    </row>
    <row r="13" spans="1:7" x14ac:dyDescent="0.35">
      <c r="E13">
        <f t="shared" si="0"/>
        <v>0</v>
      </c>
    </row>
    <row r="14" spans="1:7" x14ac:dyDescent="0.35">
      <c r="E14">
        <f t="shared" si="0"/>
        <v>0</v>
      </c>
    </row>
    <row r="15" spans="1:7" x14ac:dyDescent="0.35">
      <c r="E15">
        <f t="shared" si="0"/>
        <v>0</v>
      </c>
    </row>
    <row r="16" spans="1:7" ht="15" thickBot="1" x14ac:dyDescent="0.4">
      <c r="A16" t="s">
        <v>10</v>
      </c>
      <c r="C16" s="1">
        <f>SUM(C5:C15)</f>
        <v>1216.67</v>
      </c>
      <c r="D16" s="6">
        <f>SUM(D5:D15)</f>
        <v>20</v>
      </c>
      <c r="E16" s="1">
        <f>SUM(E5:E15)</f>
        <v>1236.67</v>
      </c>
    </row>
    <row r="17" ht="15" thickTop="1" x14ac:dyDescent="0.35"/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D92C8-8EB2-4DF5-8ACD-BFF87A4FDC39}">
  <dimension ref="A3:G17"/>
  <sheetViews>
    <sheetView workbookViewId="0">
      <selection activeCell="J19" sqref="J19"/>
    </sheetView>
  </sheetViews>
  <sheetFormatPr defaultRowHeight="14.5" x14ac:dyDescent="0.35"/>
  <cols>
    <col min="1" max="1" width="10.36328125" bestFit="1" customWidth="1"/>
    <col min="2" max="2" width="17.1796875" customWidth="1"/>
    <col min="3" max="3" width="19.6328125" customWidth="1"/>
  </cols>
  <sheetData>
    <row r="3" spans="1:7" x14ac:dyDescent="0.35">
      <c r="A3" s="14" t="s">
        <v>14</v>
      </c>
      <c r="B3" s="15">
        <v>46023</v>
      </c>
      <c r="C3" s="15">
        <v>46112</v>
      </c>
    </row>
    <row r="4" spans="1:7" x14ac:dyDescent="0.35">
      <c r="B4" s="2"/>
      <c r="C4" s="2"/>
    </row>
    <row r="5" spans="1:7" x14ac:dyDescent="0.35">
      <c r="A5" t="s">
        <v>19</v>
      </c>
      <c r="B5" t="s">
        <v>20</v>
      </c>
      <c r="D5" t="s">
        <v>21</v>
      </c>
      <c r="E5" t="s">
        <v>17</v>
      </c>
      <c r="F5" t="s">
        <v>10</v>
      </c>
      <c r="G5" t="s">
        <v>27</v>
      </c>
    </row>
    <row r="6" spans="1:7" x14ac:dyDescent="0.35">
      <c r="A6" s="2">
        <v>46023</v>
      </c>
      <c r="B6" t="s">
        <v>25</v>
      </c>
      <c r="C6" t="s">
        <v>26</v>
      </c>
      <c r="D6">
        <v>5</v>
      </c>
      <c r="E6">
        <f>D6*0.2</f>
        <v>1</v>
      </c>
      <c r="F6">
        <f>SUM(D6:E6)</f>
        <v>6</v>
      </c>
      <c r="G6" t="s">
        <v>30</v>
      </c>
    </row>
    <row r="7" spans="1:7" x14ac:dyDescent="0.35">
      <c r="A7" s="2">
        <v>46024</v>
      </c>
      <c r="B7" t="s">
        <v>29</v>
      </c>
      <c r="C7" t="s">
        <v>24</v>
      </c>
      <c r="D7">
        <v>200</v>
      </c>
      <c r="E7">
        <v>0</v>
      </c>
      <c r="F7">
        <f t="shared" ref="F7:F8" si="0">SUM(D7:E7)</f>
        <v>200</v>
      </c>
      <c r="G7" t="s">
        <v>24</v>
      </c>
    </row>
    <row r="8" spans="1:7" x14ac:dyDescent="0.35">
      <c r="A8" s="2">
        <v>46025</v>
      </c>
      <c r="C8" t="s">
        <v>28</v>
      </c>
      <c r="D8">
        <v>1000</v>
      </c>
      <c r="E8">
        <v>0</v>
      </c>
      <c r="F8">
        <f t="shared" si="0"/>
        <v>1000</v>
      </c>
      <c r="G8" t="s">
        <v>31</v>
      </c>
    </row>
    <row r="16" spans="1:7" ht="15" thickBot="1" x14ac:dyDescent="0.4">
      <c r="A16" t="s">
        <v>10</v>
      </c>
      <c r="D16" s="1">
        <f>SUM(D6:D15)</f>
        <v>1205</v>
      </c>
      <c r="E16" s="6">
        <f t="shared" ref="E16:F16" si="1">SUM(E6:E15)</f>
        <v>1</v>
      </c>
      <c r="F16" s="1">
        <f t="shared" si="1"/>
        <v>1206</v>
      </c>
    </row>
    <row r="17" ht="15" thickTop="1" x14ac:dyDescent="0.35"/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E287A-C475-4DFD-A2D9-3B7593AED96B}">
  <sheetPr>
    <pageSetUpPr fitToPage="1"/>
  </sheetPr>
  <dimension ref="B2:F16"/>
  <sheetViews>
    <sheetView workbookViewId="0">
      <selection activeCell="D23" sqref="D23"/>
    </sheetView>
  </sheetViews>
  <sheetFormatPr defaultRowHeight="14.5" x14ac:dyDescent="0.35"/>
  <cols>
    <col min="2" max="2" width="43.6328125" customWidth="1"/>
    <col min="3" max="4" width="10.36328125" bestFit="1" customWidth="1"/>
  </cols>
  <sheetData>
    <row r="2" spans="2:6" x14ac:dyDescent="0.35">
      <c r="B2" s="4" t="s">
        <v>14</v>
      </c>
      <c r="C2" s="5">
        <v>46023</v>
      </c>
      <c r="D2" s="5">
        <v>46112</v>
      </c>
    </row>
    <row r="4" spans="2:6" x14ac:dyDescent="0.35">
      <c r="B4" t="s">
        <v>32</v>
      </c>
      <c r="C4">
        <v>1</v>
      </c>
      <c r="D4" s="3">
        <f>'VAT margin'!H23+Income!D16</f>
        <v>103.33</v>
      </c>
      <c r="F4" t="s">
        <v>41</v>
      </c>
    </row>
    <row r="5" spans="2:6" x14ac:dyDescent="0.35">
      <c r="B5" t="s">
        <v>39</v>
      </c>
      <c r="C5">
        <v>2</v>
      </c>
    </row>
    <row r="7" spans="2:6" x14ac:dyDescent="0.35">
      <c r="B7" t="s">
        <v>33</v>
      </c>
      <c r="C7">
        <v>3</v>
      </c>
      <c r="D7" s="3">
        <f>D4</f>
        <v>103.33</v>
      </c>
    </row>
    <row r="9" spans="2:6" x14ac:dyDescent="0.35">
      <c r="B9" t="s">
        <v>34</v>
      </c>
      <c r="C9">
        <v>4</v>
      </c>
      <c r="D9" s="3">
        <f>Expenses!E16</f>
        <v>1</v>
      </c>
      <c r="F9" t="s">
        <v>42</v>
      </c>
    </row>
    <row r="11" spans="2:6" x14ac:dyDescent="0.35">
      <c r="B11" t="s">
        <v>35</v>
      </c>
      <c r="C11">
        <v>5</v>
      </c>
      <c r="D11" s="3">
        <f>D7-D9</f>
        <v>102.33</v>
      </c>
      <c r="F11" t="s">
        <v>40</v>
      </c>
    </row>
    <row r="12" spans="2:6" x14ac:dyDescent="0.35">
      <c r="B12" t="s">
        <v>36</v>
      </c>
    </row>
    <row r="14" spans="2:6" x14ac:dyDescent="0.35">
      <c r="B14" t="s">
        <v>37</v>
      </c>
      <c r="C14">
        <v>6</v>
      </c>
      <c r="D14">
        <f>Income!C16</f>
        <v>1216.67</v>
      </c>
      <c r="F14" t="s">
        <v>60</v>
      </c>
    </row>
    <row r="16" spans="2:6" x14ac:dyDescent="0.35">
      <c r="B16" t="s">
        <v>38</v>
      </c>
      <c r="C16">
        <v>7</v>
      </c>
      <c r="D16">
        <f>Expenses!D16</f>
        <v>1205</v>
      </c>
      <c r="F16" t="s">
        <v>61</v>
      </c>
    </row>
  </sheetData>
  <pageMargins left="0.70866141732283472" right="0.70866141732283472" top="0.74803149606299213" bottom="0.74803149606299213" header="0.31496062992125984" footer="0.31496062992125984"/>
  <pageSetup scale="9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0A569-526D-4527-B8C5-8DCE51F3C689}">
  <dimension ref="A2:D26"/>
  <sheetViews>
    <sheetView topLeftCell="A4" workbookViewId="0">
      <selection activeCell="F17" sqref="F17"/>
    </sheetView>
  </sheetViews>
  <sheetFormatPr defaultRowHeight="14.5" x14ac:dyDescent="0.35"/>
  <cols>
    <col min="1" max="1" width="21.54296875" customWidth="1"/>
    <col min="2" max="2" width="18.90625" customWidth="1"/>
  </cols>
  <sheetData>
    <row r="2" spans="1:4" x14ac:dyDescent="0.35">
      <c r="A2" s="4" t="s">
        <v>48</v>
      </c>
      <c r="B2" s="8" t="s">
        <v>49</v>
      </c>
      <c r="C2" s="7" t="s">
        <v>50</v>
      </c>
    </row>
    <row r="4" spans="1:4" x14ac:dyDescent="0.35">
      <c r="A4" t="s">
        <v>43</v>
      </c>
      <c r="B4">
        <f>Income!C16-'VAT return'!D11</f>
        <v>1114.3400000000001</v>
      </c>
      <c r="D4" t="s">
        <v>44</v>
      </c>
    </row>
    <row r="7" spans="1:4" x14ac:dyDescent="0.35">
      <c r="A7" s="4" t="s">
        <v>45</v>
      </c>
      <c r="B7" s="4">
        <f>SUM(B4:B6)</f>
        <v>1114.3400000000001</v>
      </c>
    </row>
    <row r="9" spans="1:4" x14ac:dyDescent="0.35">
      <c r="A9" t="s">
        <v>46</v>
      </c>
      <c r="B9" s="17"/>
      <c r="D9" t="s">
        <v>47</v>
      </c>
    </row>
    <row r="10" spans="1:4" x14ac:dyDescent="0.35">
      <c r="A10" s="4" t="s">
        <v>62</v>
      </c>
      <c r="B10" s="16"/>
    </row>
    <row r="12" spans="1:4" x14ac:dyDescent="0.35">
      <c r="A12" t="s">
        <v>31</v>
      </c>
      <c r="B12">
        <f>Expenses!D16</f>
        <v>1205</v>
      </c>
      <c r="D12" t="s">
        <v>56</v>
      </c>
    </row>
    <row r="13" spans="1:4" x14ac:dyDescent="0.35">
      <c r="A13" t="s">
        <v>24</v>
      </c>
    </row>
    <row r="14" spans="1:4" x14ac:dyDescent="0.35">
      <c r="A14" t="s">
        <v>52</v>
      </c>
    </row>
    <row r="15" spans="1:4" x14ac:dyDescent="0.35">
      <c r="A15" t="s">
        <v>53</v>
      </c>
    </row>
    <row r="16" spans="1:4" x14ac:dyDescent="0.35">
      <c r="A16" t="s">
        <v>54</v>
      </c>
    </row>
    <row r="17" spans="1:2" x14ac:dyDescent="0.35">
      <c r="A17" t="s">
        <v>55</v>
      </c>
    </row>
    <row r="20" spans="1:2" x14ac:dyDescent="0.35">
      <c r="A20" s="4" t="s">
        <v>57</v>
      </c>
      <c r="B20" s="4">
        <f>SUM(B12:B19)</f>
        <v>1205</v>
      </c>
    </row>
    <row r="24" spans="1:2" ht="15" thickBot="1" x14ac:dyDescent="0.4">
      <c r="A24" s="9" t="s">
        <v>9</v>
      </c>
      <c r="B24" s="9">
        <f>B7-B11</f>
        <v>1114.3400000000001</v>
      </c>
    </row>
    <row r="25" spans="1:2" ht="15" thickTop="1" x14ac:dyDescent="0.35"/>
    <row r="26" spans="1:2" x14ac:dyDescent="0.35">
      <c r="A26" t="s">
        <v>51</v>
      </c>
      <c r="B26">
        <f>(B24-12570)*0.2</f>
        <v>-2291.1320000000001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VAT margin</vt:lpstr>
      <vt:lpstr>Income</vt:lpstr>
      <vt:lpstr>Expenses</vt:lpstr>
      <vt:lpstr>VAT return</vt:lpstr>
      <vt:lpstr>SA TR 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Viktoriya Cherevko</dc:creator>
  <cp:lastModifiedBy>Viktoriya Cherevko</cp:lastModifiedBy>
  <cp:lastPrinted>2026-03-29T16:38:19Z</cp:lastPrinted>
  <dcterms:created xsi:type="dcterms:W3CDTF">2026-01-07T19:31:12Z</dcterms:created>
  <dcterms:modified xsi:type="dcterms:W3CDTF">2026-03-29T16:38:41Z</dcterms:modified>
</cp:coreProperties>
</file>